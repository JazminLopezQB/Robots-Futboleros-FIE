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<sst xmlns="http://schemas.openxmlformats.org/spreadsheetml/2006/main" count="87" uniqueCount="57">
  <si>
    <t xml:space="preserve">Prioridad</t>
  </si>
  <si>
    <t xml:space="preserve">Cantidad</t>
  </si>
  <si>
    <t xml:space="preserve">Componente</t>
  </si>
  <si>
    <t xml:space="preserve">Precio Unitario</t>
  </si>
  <si>
    <t xml:space="preserve">Precio Total</t>
  </si>
  <si>
    <t xml:space="preserve">Link de Compra</t>
  </si>
  <si>
    <t xml:space="preserve">unidades</t>
  </si>
  <si>
    <t xml:space="preserve">Pila 2200mah 50c 7.4v Lipo </t>
  </si>
  <si>
    <t xml:space="preserve">https://glcompetizione.com/product/pila-2200mah-50c-7-4v-lipo/</t>
  </si>
  <si>
    <t xml:space="preserve">Glcompetizione</t>
  </si>
  <si>
    <t xml:space="preserve">par hembra macho</t>
  </si>
  <si>
    <t xml:space="preserve">Fichas Xt60 Xt-60 Par Macho Y Hembra Lipo </t>
  </si>
  <si>
    <t xml:space="preserve">https://candy-ho.com/producto/fichas-xt60-xt-60-par-macho-y-hembra-lipo/</t>
  </si>
  <si>
    <t xml:space="preserve">candy ho</t>
  </si>
  <si>
    <t xml:space="preserve">Fuente Step Down Dc Dc Mini360 1v A 17v 1.8a 17x11mm Arduino </t>
  </si>
  <si>
    <t xml:space="preserve">https://candy-ho.com/producto/fuente-step-down-dc-dc-mini360-1v-a-17v-1-8a-17x11mm-arduino/</t>
  </si>
  <si>
    <t xml:space="preserve">Sensor De Energía Corriente Ina219 26v 3.2a Arduino </t>
  </si>
  <si>
    <t xml:space="preserve">https://candy-ho.com/producto/sensor-de-energia-corriente-ina219-26v-3-2a-arduino/</t>
  </si>
  <si>
    <t xml:space="preserve">x5</t>
  </si>
  <si>
    <t xml:space="preserve">Pack X 5 Resistencia 2512 Smd 1w (0,47) </t>
  </si>
  <si>
    <t xml:space="preserve">https://articulo.mercadolibre.com.ar/MLA-856693167-pack-x-5-resistencia-2512-smd-1w-elegir-resistencia-_JM?attributes=Resistencia_5775b5a8_vpp%3AMC40N1I%3D&amp;picker=true&amp;matt_tool=38087446&amp;quantity=1</t>
  </si>
  <si>
    <t xml:space="preserve">ML</t>
  </si>
  <si>
    <t xml:space="preserve">Pack X 5 Resistencia 2512 Smd 1w (0,22) </t>
  </si>
  <si>
    <t xml:space="preserve">https://articulo.mercadolibre.com.ar/MLA-856693167-pack-x-5-resistencia-2512-smd-1w-elegir-resistencia-_JM?attributes=Resistencia_5775b5a8_vpp%3AMC4yMlI%3D&amp;quantity=1&amp;picker=true&amp;matt_tool=38087446</t>
  </si>
  <si>
    <t xml:space="preserve">Drive Motor Dc Puente H 1.5a 3v A 10v Drv8833 2ch H-bridge</t>
  </si>
  <si>
    <t xml:space="preserve">https://candy-ho.com/producto/drive-motor-dc-puente-h-1-5a-3v-a-10v-drv8833-2ch-h-bridge/</t>
  </si>
  <si>
    <t xml:space="preserve">Diodo Schottky 15sq045 15a 45v </t>
  </si>
  <si>
    <t xml:space="preserve">https://candy-ho.com/producto/diodo-schottky-p-celdas-solares-15sq045-i5sq045-15a-45v/</t>
  </si>
  <si>
    <t xml:space="preserve">caja</t>
  </si>
  <si>
    <t xml:space="preserve">Tornillo Fresada M3 X 8 Por 500u. Ranura Philips </t>
  </si>
  <si>
    <t xml:space="preserve">https://www.mercadolibre.com.ar/tornillo-fresada-m3-x-8-por-500u-ranura-philips/up/MLAU3184034189#polycard_client=search-desktop&amp;be_origin=backend&amp;overlay_label=not_apply&amp;search_layout=grid&amp;position=2&amp;type=product&amp;tracking_id=b8c42494-1cb1-4032-92f7-6e5655501ce3&amp;wid=MLA2088672328&amp;sid=search</t>
  </si>
  <si>
    <t xml:space="preserve">Mercado Libre (tornilleria urano)</t>
  </si>
  <si>
    <t xml:space="preserve">Tuerca Hexagonal Metrica M3 X 0,50 Caja Por 500u. </t>
  </si>
  <si>
    <t xml:space="preserve">https://www.mercadolibre.com.ar/up/MLAU338291441?matt_tool=89488245&amp;pdp_filters=item_id:MLA1707099878&amp;ua=et5sPwenRaBD3a4TgthUkJnKmCrYH5hPPZjcQXXS1Lst2hAG#origin=share&amp;sid=share&amp;wid=MLA1707099878&amp;action=copy</t>
  </si>
  <si>
    <t xml:space="preserve">Placa ESP32 USB C CH340C Arduino NodeMCU 32S Lua WiFi IOT BT </t>
  </si>
  <si>
    <t xml:space="preserve">https://candy-ho.com/producto/placa-esp32-usb-c-ch340c-arduino-nodemcu-32s-lua-wifi-iot-bt/</t>
  </si>
  <si>
    <t xml:space="preserve">Joystick inalámbrico</t>
  </si>
  <si>
    <t xml:space="preserve">https://www.mercadolibre.com.ar/joystick-inalambrico-compatible-nintendo-switch-2-y-oled-control-pc-gamer-inalambrico-usb-android-steam-dehuka/p/MLA19472403#polycard_client=search-desktop&amp;be_origin=backend&amp;overlay_label=not_apply&amp;search_layout=grid&amp;position=21&amp;type=product&amp;tracking_id=8ee073cb-daf7-4a5a-a13a-9a301159a086&amp;wid=MLA1722632539&amp;sid=search</t>
  </si>
  <si>
    <t xml:space="preserve">Motor con Caja Reductora JGA25-370 DC6V 620RPM Nubbeo </t>
  </si>
  <si>
    <t xml:space="preserve">https://www.nubbeo.com.ar/productos/motor-con-caja-reductora-jga25-370-dc6v-620rpm-nubbeo/</t>
  </si>
  <si>
    <t xml:space="preserve">Nubbeo</t>
  </si>
  <si>
    <t xml:space="preserve">Pack Lipo a bordo, ProTek 7.4V/2300mAh </t>
  </si>
  <si>
    <t xml:space="preserve">https://glcompetizione.com/product/pack-lipo-a-bordo-protek-7-4v-2300mah/</t>
  </si>
  <si>
    <t xml:space="preserve">x10</t>
  </si>
  <si>
    <t xml:space="preserve">Placa Virgen Cobre 10x10 Simple Faz Pcb Púlsar Cladex X10u </t>
  </si>
  <si>
    <t xml:space="preserve">https://www.mercadolibre.com.ar/placa-virgen-cobre-10x10-simple-faz-pcb-pulsar-cladex-x10u/up/MLAU298975188#polycard_client=search-desktop&amp;float_highlight=last_unit&amp;be_origin=backend&amp;overlay_label=not_apply&amp;search_layout=grid&amp;position=7&amp;type=product&amp;tracking_id=78c392d3-5194-489c-af9a-1d115fe60222&amp;wid=MLA866886964&amp;sid=search</t>
  </si>
  <si>
    <t xml:space="preserve">Contacflux Delta Protector Circuitos Impresos 120gr Flux </t>
  </si>
  <si>
    <t xml:space="preserve">https://www.mercadolibre.com.ar/contacflux-delta-protector-circuitos-impresos-120gr-flux/up/MLAU271158093?pdp_filters=item_id:MLA729842779#polycard_client=cart_list&amp;wid=MLA729842779&amp;sid=cart</t>
  </si>
  <si>
    <t xml:space="preserve">Máscara Uv Antisoldante Pcb Celulares Relife Uvh 902 Negro </t>
  </si>
  <si>
    <t xml:space="preserve">https://www.mercadolibre.com.ar/mascara-uv-antisoldante-pcb-celulares-relife-uvh-902-negro/p/MLA72189862#polycard_client=search-desktop&amp;be_origin=backend&amp;overlay_label=not_apply&amp;search_layout=grid&amp;position=6&amp;type=product&amp;tracking_id=94f3cda9-531a-4d08-b569-13e1adf60c43&amp;wid=MLA3421447396&amp;sid=search</t>
  </si>
  <si>
    <t xml:space="preserve">Seda Malla Tela Gasa Serigrafia 54 Hilos Para Schablones </t>
  </si>
  <si>
    <t xml:space="preserve">https://www.mercadolibre.com.ar/seda-malla-tela-gasa-serigrafia-54-hilos-para-schablones/up/MLAU266751613?pdp_filters=item_id:MLA701429193#is_advertising=true&amp;searchVariation=MLAU266751613&amp;backend_model=search-backend;EQ:MALLA%20SERIGRAFICA;EQ:MALLA%20SERIGRAFIA&amp;be_origin=backend&amp;position=1&amp;search_layout=grid&amp;type=pad&amp;tracking_id=b2663368-9812-4e82-b2ae-54084754fbfb&amp;ad_domain=VQCATCORE_LST&amp;ad_position=1&amp;ad_click_id=NzU3NTY3ZGMtMzFmYy00ZWIxLTg1MjgtZjU3ZGI3ZWRiZGQx</t>
  </si>
  <si>
    <t xml:space="preserve">Shablon Bastidor Serigrafia 20x26 47h. </t>
  </si>
  <si>
    <t xml:space="preserve">https://www.mercadolibre.com.ar/shablon-bastidor-serigrafia-20x26-47h/up/MLAU3631038555#polycard_client=search-desktop&amp;be_origin=backend&amp;overlay_label=not_apply&amp;search_layout=grid&amp;position=32&amp;type=product&amp;tracking_id=25443a4c-89ba-4dc5-87d9-79c93f754609&amp;wid=MLA2608102476&amp;sid=search</t>
  </si>
  <si>
    <t xml:space="preserve">Pintura Aerosol Uso General Smart Paint 350ml /250gr Doble A Color Negro Mate </t>
  </si>
  <si>
    <t xml:space="preserve">https://www.mercadolibre.com.ar/pintura-aerosol-uso-general-smart-paint-350ml-250gr-doble-a-color-negro-mate/p/MLA25278984?pdp_filters=item_id:MLA1461484466#is_advertising=true&amp;searchVariation=MLA25278984&amp;backend_model=search-backend;EQ:AEROSOL%20NEGRO%20MATE%20PINTURA&amp;be_origin=backend&amp;position=3&amp;search_layout=grid&amp;type=pad&amp;tracking_id=214e9263-d167-4419-b445-143382df3ebd&amp;ad_domain=VQCATCORE_LST&amp;ad_position=3&amp;ad_click_id=M2M5MDNmYjMtOWY3OC00NTEzLTg2ZTgtYWU1MTk0OGRiYTYx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</si>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</sst>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2C0A]#,##0.00;[RED]\([$$-2C0A]#,##0.00\)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8F2A1"/>
        <bgColor rgb="FFF6F9D4"/>
      </patternFill>
    </fill>
    <fill>
      <patternFill patternType="solid">
        <fgColor rgb="FFF6F9D4"/>
        <bgColor rgb="FFFFFFFF"/>
      </patternFill>
    </fill>
    <fill>
      <patternFill patternType="solid">
        <fgColor rgb="FFD4EA6B"/>
        <bgColor rgb="FFE8F2A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4" activeCellId="0" sqref="B2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false" hidden="false" outlineLevel="0" max="3" min="2" style="2" width="11.53"/>
    <col collapsed="false" customWidth="true" hidden="false" outlineLevel="0" max="4" min="4" style="2" width="35.2"/>
    <col collapsed="false" customWidth="false" hidden="false" outlineLevel="0" max="6" min="5" style="3" width="11.53"/>
    <col collapsed="false" customWidth="true" hidden="false" outlineLevel="0" max="7" min="7" style="2" width="163.06"/>
    <col collapsed="false" customWidth="true" hidden="false" outlineLevel="0" max="8" min="8" style="2" width="18.92"/>
    <col collapsed="false" customWidth="false" hidden="false" outlineLevel="0" max="16384" min="9" style="2" width="11.53"/>
  </cols>
  <sheetData>
    <row r="1" customFormat="false" ht="22.35" hidden="false" customHeight="true" outlineLevel="0" collapsed="false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</row>
    <row r="2" customFormat="false" ht="12.8" hidden="false" customHeight="false" outlineLevel="0" collapsed="false">
      <c r="A2" s="5" t="n">
        <v>1</v>
      </c>
      <c r="B2" s="6" t="n">
        <v>3</v>
      </c>
      <c r="C2" s="6" t="s">
        <v>6</v>
      </c>
      <c r="D2" s="6" t="s">
        <v>7</v>
      </c>
      <c r="E2" s="7" t="n">
        <v>56240</v>
      </c>
      <c r="F2" s="7" t="n">
        <f aca="false">B2*E2</f>
        <v>168720</v>
      </c>
      <c r="G2" s="6" t="s">
        <v>8</v>
      </c>
      <c r="H2" s="2" t="s">
        <v>9</v>
      </c>
    </row>
    <row r="3" customFormat="false" ht="23.85" hidden="false" customHeight="false" outlineLevel="0" collapsed="false">
      <c r="A3" s="5" t="n">
        <v>2</v>
      </c>
      <c r="B3" s="6" t="n">
        <v>6</v>
      </c>
      <c r="C3" s="6" t="s">
        <v>10</v>
      </c>
      <c r="D3" s="8" t="s">
        <v>11</v>
      </c>
      <c r="E3" s="9" t="n">
        <v>1531</v>
      </c>
      <c r="F3" s="7" t="n">
        <f aca="false">B3*E3</f>
        <v>9186</v>
      </c>
      <c r="G3" s="6" t="s">
        <v>12</v>
      </c>
      <c r="H3" s="2" t="s">
        <v>13</v>
      </c>
    </row>
    <row r="4" s="10" customFormat="true" ht="23.85" hidden="false" customHeight="false" outlineLevel="0" collapsed="false">
      <c r="A4" s="5" t="n">
        <v>3</v>
      </c>
      <c r="B4" s="6" t="n">
        <v>2</v>
      </c>
      <c r="C4" s="6" t="s">
        <v>6</v>
      </c>
      <c r="D4" s="6" t="s">
        <v>14</v>
      </c>
      <c r="E4" s="7" t="n">
        <v>1373</v>
      </c>
      <c r="F4" s="7" t="n">
        <f aca="false">B4*E4</f>
        <v>2746</v>
      </c>
      <c r="G4" s="6" t="s">
        <v>15</v>
      </c>
      <c r="H4" s="10" t="s">
        <v>13</v>
      </c>
    </row>
    <row r="5" customFormat="false" ht="23.85" hidden="false" customHeight="false" outlineLevel="0" collapsed="false">
      <c r="A5" s="5" t="n">
        <v>4</v>
      </c>
      <c r="B5" s="6" t="n">
        <v>4</v>
      </c>
      <c r="C5" s="6" t="s">
        <v>6</v>
      </c>
      <c r="D5" s="6" t="s">
        <v>16</v>
      </c>
      <c r="E5" s="7" t="n">
        <v>3898</v>
      </c>
      <c r="F5" s="7" t="n">
        <f aca="false">B5*E5</f>
        <v>15592</v>
      </c>
      <c r="G5" s="6" t="s">
        <v>17</v>
      </c>
      <c r="H5" s="2" t="s">
        <v>13</v>
      </c>
    </row>
    <row r="6" customFormat="false" ht="23.85" hidden="false" customHeight="false" outlineLevel="0" collapsed="false">
      <c r="A6" s="5" t="n">
        <v>5</v>
      </c>
      <c r="B6" s="6" t="n">
        <v>2</v>
      </c>
      <c r="C6" s="6" t="s">
        <v>18</v>
      </c>
      <c r="D6" s="6" t="s">
        <v>19</v>
      </c>
      <c r="E6" s="7" t="n">
        <v>3790</v>
      </c>
      <c r="F6" s="7" t="n">
        <f aca="false">B6*E6</f>
        <v>7580</v>
      </c>
      <c r="G6" s="6" t="s">
        <v>20</v>
      </c>
      <c r="H6" s="2" t="s">
        <v>21</v>
      </c>
    </row>
    <row r="7" customFormat="false" ht="23.85" hidden="false" customHeight="false" outlineLevel="0" collapsed="false">
      <c r="A7" s="5" t="n">
        <v>6</v>
      </c>
      <c r="B7" s="6" t="n">
        <v>2</v>
      </c>
      <c r="C7" s="6" t="s">
        <v>18</v>
      </c>
      <c r="D7" s="6" t="s">
        <v>22</v>
      </c>
      <c r="E7" s="7" t="n">
        <v>3790</v>
      </c>
      <c r="F7" s="7" t="n">
        <f aca="false">B7*E7</f>
        <v>7580</v>
      </c>
      <c r="G7" s="6" t="s">
        <v>23</v>
      </c>
      <c r="H7" s="2" t="s">
        <v>21</v>
      </c>
    </row>
    <row r="8" customFormat="false" ht="23.85" hidden="false" customHeight="false" outlineLevel="0" collapsed="false">
      <c r="A8" s="5" t="n">
        <v>7</v>
      </c>
      <c r="B8" s="8" t="n">
        <v>8</v>
      </c>
      <c r="C8" s="8" t="s">
        <v>6</v>
      </c>
      <c r="D8" s="8" t="s">
        <v>24</v>
      </c>
      <c r="E8" s="7" t="n">
        <v>2465</v>
      </c>
      <c r="F8" s="7" t="n">
        <f aca="false">B8*E8</f>
        <v>19720</v>
      </c>
      <c r="G8" s="6" t="s">
        <v>25</v>
      </c>
      <c r="H8" s="2" t="s">
        <v>13</v>
      </c>
    </row>
    <row r="9" customFormat="false" ht="12.8" hidden="false" customHeight="false" outlineLevel="0" collapsed="false">
      <c r="A9" s="5" t="n">
        <v>8</v>
      </c>
      <c r="B9" s="11" t="n">
        <v>10</v>
      </c>
      <c r="C9" s="11" t="s">
        <v>6</v>
      </c>
      <c r="D9" s="6" t="s">
        <v>26</v>
      </c>
      <c r="E9" s="12" t="n">
        <v>504</v>
      </c>
      <c r="F9" s="7" t="n">
        <f aca="false">B9*E9</f>
        <v>5040</v>
      </c>
      <c r="G9" s="6" t="s">
        <v>27</v>
      </c>
      <c r="H9" s="2" t="s">
        <v>13</v>
      </c>
    </row>
    <row r="10" s="13" customFormat="true" ht="23.85" hidden="false" customHeight="false" outlineLevel="0" collapsed="false">
      <c r="A10" s="5" t="n">
        <v>9</v>
      </c>
      <c r="B10" s="6" t="n">
        <v>1</v>
      </c>
      <c r="C10" s="6" t="s">
        <v>28</v>
      </c>
      <c r="D10" s="8" t="s">
        <v>29</v>
      </c>
      <c r="E10" s="7" t="n">
        <v>14370.06</v>
      </c>
      <c r="F10" s="7" t="n">
        <f aca="false">B10*E10</f>
        <v>14370.06</v>
      </c>
      <c r="G10" s="6" t="s">
        <v>30</v>
      </c>
      <c r="H10" s="2" t="s">
        <v>31</v>
      </c>
      <c r="I10" s="2"/>
      <c r="J10" s="2"/>
      <c r="K10" s="2"/>
      <c r="L10" s="2"/>
      <c r="M10" s="2"/>
    </row>
    <row r="11" s="13" customFormat="true" ht="23.85" hidden="false" customHeight="false" outlineLevel="0" collapsed="false">
      <c r="A11" s="5" t="n">
        <v>10</v>
      </c>
      <c r="B11" s="6" t="n">
        <v>1</v>
      </c>
      <c r="C11" s="6" t="s">
        <v>28</v>
      </c>
      <c r="D11" s="6" t="s">
        <v>32</v>
      </c>
      <c r="E11" s="7" t="n">
        <v>7687.5</v>
      </c>
      <c r="F11" s="7" t="n">
        <f aca="false">B11*E11</f>
        <v>7687.5</v>
      </c>
      <c r="G11" s="6" t="s">
        <v>33</v>
      </c>
      <c r="H11" s="2" t="s">
        <v>31</v>
      </c>
      <c r="I11" s="2"/>
      <c r="J11" s="2"/>
      <c r="K11" s="2"/>
      <c r="L11" s="2"/>
      <c r="M11" s="2"/>
    </row>
    <row r="12" s="13" customFormat="true" ht="23.85" hidden="false" customHeight="false" outlineLevel="0" collapsed="false">
      <c r="A12" s="5" t="n">
        <v>11</v>
      </c>
      <c r="B12" s="6" t="n">
        <v>4</v>
      </c>
      <c r="C12" s="6" t="s">
        <v>6</v>
      </c>
      <c r="D12" s="6" t="s">
        <v>34</v>
      </c>
      <c r="E12" s="7" t="n">
        <v>9416</v>
      </c>
      <c r="F12" s="7" t="n">
        <f aca="false">B12*E12</f>
        <v>37664</v>
      </c>
      <c r="G12" s="6" t="s">
        <v>35</v>
      </c>
      <c r="H12" s="2" t="s">
        <v>13</v>
      </c>
      <c r="I12" s="2"/>
      <c r="J12" s="2"/>
      <c r="K12" s="2"/>
      <c r="L12" s="2"/>
      <c r="M12" s="2"/>
    </row>
    <row r="13" customFormat="false" ht="23.85" hidden="false" customHeight="false" outlineLevel="0" collapsed="false">
      <c r="A13" s="5" t="n">
        <v>12</v>
      </c>
      <c r="B13" s="6" t="n">
        <v>3</v>
      </c>
      <c r="C13" s="6" t="s">
        <v>6</v>
      </c>
      <c r="D13" s="6" t="s">
        <v>36</v>
      </c>
      <c r="E13" s="7" t="n">
        <v>47900</v>
      </c>
      <c r="F13" s="7" t="n">
        <f aca="false">B13*E13</f>
        <v>143700</v>
      </c>
      <c r="G13" s="6" t="s">
        <v>37</v>
      </c>
      <c r="H13" s="2" t="s">
        <v>21</v>
      </c>
    </row>
    <row r="14" customFormat="false" ht="23.85" hidden="false" customHeight="false" outlineLevel="0" collapsed="false">
      <c r="A14" s="5" t="n">
        <v>13</v>
      </c>
      <c r="B14" s="6" t="n">
        <v>8</v>
      </c>
      <c r="C14" s="6" t="s">
        <v>6</v>
      </c>
      <c r="D14" s="6" t="s">
        <v>38</v>
      </c>
      <c r="E14" s="7" t="n">
        <v>20899</v>
      </c>
      <c r="F14" s="7" t="n">
        <f aca="false">B14*E14</f>
        <v>167192</v>
      </c>
      <c r="G14" s="6" t="s">
        <v>39</v>
      </c>
      <c r="H14" s="2" t="s">
        <v>40</v>
      </c>
    </row>
    <row r="15" customFormat="false" ht="12.8" hidden="false" customHeight="false" outlineLevel="0" collapsed="false">
      <c r="A15" s="5" t="n">
        <v>14</v>
      </c>
      <c r="B15" s="6" t="n">
        <v>1</v>
      </c>
      <c r="C15" s="6" t="s">
        <v>6</v>
      </c>
      <c r="D15" s="6" t="s">
        <v>41</v>
      </c>
      <c r="E15" s="7" t="n">
        <v>74480</v>
      </c>
      <c r="F15" s="7" t="n">
        <f aca="false">B15*E15</f>
        <v>74480</v>
      </c>
      <c r="G15" s="6" t="s">
        <v>42</v>
      </c>
      <c r="H15" s="2" t="s">
        <v>9</v>
      </c>
    </row>
    <row r="16" customFormat="false" ht="35.05" hidden="false" customHeight="false" outlineLevel="0" collapsed="false">
      <c r="A16" s="5" t="n">
        <v>15</v>
      </c>
      <c r="B16" s="6" t="n">
        <v>2</v>
      </c>
      <c r="C16" s="6" t="s">
        <v>43</v>
      </c>
      <c r="D16" s="6" t="s">
        <v>44</v>
      </c>
      <c r="E16" s="7" t="n">
        <v>24900</v>
      </c>
      <c r="F16" s="7" t="n">
        <f aca="false">B16*E16</f>
        <v>49800</v>
      </c>
      <c r="G16" s="6" t="s">
        <v>45</v>
      </c>
      <c r="H16" s="2" t="s">
        <v>21</v>
      </c>
    </row>
    <row r="17" customFormat="false" ht="23.85" hidden="false" customHeight="false" outlineLevel="0" collapsed="false">
      <c r="A17" s="5" t="n">
        <v>16</v>
      </c>
      <c r="B17" s="6" t="n">
        <v>2</v>
      </c>
      <c r="C17" s="6" t="s">
        <v>6</v>
      </c>
      <c r="D17" s="6" t="s">
        <v>46</v>
      </c>
      <c r="E17" s="7" t="n">
        <v>10900</v>
      </c>
      <c r="F17" s="7" t="n">
        <f aca="false">B17*E17</f>
        <v>21800</v>
      </c>
      <c r="G17" s="6" t="s">
        <v>47</v>
      </c>
      <c r="H17" s="2" t="s">
        <v>21</v>
      </c>
    </row>
    <row r="18" s="14" customFormat="true" ht="23.85" hidden="false" customHeight="false" outlineLevel="0" collapsed="false">
      <c r="A18" s="5" t="n">
        <v>17</v>
      </c>
      <c r="B18" s="8" t="n">
        <v>1</v>
      </c>
      <c r="C18" s="8" t="s">
        <v>6</v>
      </c>
      <c r="D18" s="8" t="s">
        <v>48</v>
      </c>
      <c r="E18" s="9" t="n">
        <v>7300</v>
      </c>
      <c r="F18" s="7" t="n">
        <f aca="false">B18*E18</f>
        <v>7300</v>
      </c>
      <c r="G18" s="8" t="s">
        <v>49</v>
      </c>
      <c r="H18" s="14" t="s">
        <v>21</v>
      </c>
    </row>
    <row r="19" customFormat="false" ht="46.25" hidden="false" customHeight="false" outlineLevel="0" collapsed="false">
      <c r="A19" s="5" t="n">
        <v>18</v>
      </c>
      <c r="B19" s="6" t="n">
        <v>1</v>
      </c>
      <c r="C19" s="6" t="s">
        <v>6</v>
      </c>
      <c r="D19" s="6" t="s">
        <v>50</v>
      </c>
      <c r="E19" s="7" t="n">
        <v>17600</v>
      </c>
      <c r="F19" s="7" t="n">
        <f aca="false">B19*E19</f>
        <v>17600</v>
      </c>
      <c r="G19" s="6" t="s">
        <v>51</v>
      </c>
      <c r="H19" s="2" t="s">
        <v>21</v>
      </c>
    </row>
    <row r="20" customFormat="false" ht="23.85" hidden="false" customHeight="false" outlineLevel="0" collapsed="false">
      <c r="A20" s="5" t="n">
        <v>19</v>
      </c>
      <c r="B20" s="6" t="n">
        <v>1</v>
      </c>
      <c r="C20" s="6" t="s">
        <v>6</v>
      </c>
      <c r="D20" s="6" t="s">
        <v>52</v>
      </c>
      <c r="E20" s="7" t="n">
        <v>9000</v>
      </c>
      <c r="F20" s="7" t="n">
        <f aca="false">B20*E20</f>
        <v>9000</v>
      </c>
      <c r="G20" s="6" t="s">
        <v>53</v>
      </c>
      <c r="H20" s="2" t="s">
        <v>21</v>
      </c>
    </row>
    <row r="21" customFormat="false" ht="46.25" hidden="false" customHeight="false" outlineLevel="0" collapsed="false">
      <c r="A21" s="5" t="n">
        <v>20</v>
      </c>
      <c r="B21" s="6" t="n">
        <v>1</v>
      </c>
      <c r="C21" s="6" t="s">
        <v>6</v>
      </c>
      <c r="D21" s="6" t="s">
        <v>54</v>
      </c>
      <c r="E21" s="7" t="n">
        <v>6920</v>
      </c>
      <c r="F21" s="7" t="n">
        <f aca="false">B21*E21</f>
        <v>6920</v>
      </c>
      <c r="G21" s="6" t="s">
        <v>55</v>
      </c>
      <c r="H21" s="14" t="s">
        <v>21</v>
      </c>
    </row>
    <row r="22" customFormat="false" ht="12.8" hidden="false" customHeight="false" outlineLevel="0" collapsed="false">
      <c r="A22" s="5"/>
      <c r="B22" s="6"/>
      <c r="C22" s="6"/>
      <c r="D22" s="6"/>
      <c r="E22" s="7"/>
      <c r="F22" s="7"/>
      <c r="G22" s="6"/>
      <c r="H22" s="14"/>
    </row>
    <row r="23" customFormat="false" ht="12.8" hidden="false" customHeight="false" outlineLevel="0" collapsed="false">
      <c r="A23" s="15" t="s">
        <v>56</v>
      </c>
      <c r="B23" s="15" t="n">
        <f aca="false">SUM(B2:B21)</f>
        <v>63</v>
      </c>
      <c r="C23" s="4"/>
      <c r="D23" s="4"/>
      <c r="E23" s="16"/>
      <c r="F23" s="17" t="n">
        <f aca="false">SUM(F2:F21)</f>
        <v>793677.56</v>
      </c>
      <c r="G23" s="18"/>
    </row>
    <row r="26" customFormat="false" ht="12.8" hidden="false" customHeight="false" outlineLevel="0" collapsed="false">
      <c r="A26" s="13"/>
      <c r="B26" s="13"/>
      <c r="C26" s="13"/>
      <c r="D26" s="13"/>
      <c r="E26" s="13"/>
      <c r="F26" s="13"/>
      <c r="G26" s="13"/>
    </row>
    <row r="39" customFormat="false" ht="12.8" hidden="false" customHeight="false" outlineLevel="0" collapsed="false">
      <c r="I39" s="13"/>
      <c r="J39" s="13"/>
      <c r="K39" s="13"/>
      <c r="L39" s="13"/>
      <c r="M39" s="13"/>
    </row>
  </sheetData>
  <mergeCells count="1">
    <mergeCell ref="B1:C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2026-08-13T20:25:13Z</dcterms:created>
  <dc:creator/>
  <dc:description/>
  <dc:language>es-AR</dc:language>
  <cp:lastModifiedBy/>
  <dcterms:modified xsi:type="dcterms:W3CDTF">2026-08-25T08:21:55Z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